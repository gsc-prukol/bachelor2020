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sc_prukol\Desktop\БДР2020\"/>
    </mc:Choice>
  </mc:AlternateContent>
  <bookViews>
    <workbookView xWindow="0" yWindow="0" windowWidth="23040" windowHeight="8244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1" i="1" l="1"/>
  <c r="J60" i="1"/>
  <c r="J59" i="1"/>
  <c r="J58" i="1"/>
  <c r="J57" i="1"/>
  <c r="I60" i="1"/>
  <c r="I59" i="1"/>
  <c r="I58" i="1"/>
  <c r="I57" i="1"/>
  <c r="G60" i="1"/>
  <c r="G59" i="1"/>
  <c r="G58" i="1"/>
  <c r="G57" i="1"/>
  <c r="F57" i="1"/>
  <c r="F61" i="1"/>
  <c r="F60" i="1"/>
  <c r="F59" i="1"/>
  <c r="F58" i="1"/>
  <c r="E61" i="1"/>
  <c r="E58" i="1"/>
  <c r="E59" i="1"/>
  <c r="E60" i="1"/>
  <c r="E57" i="1"/>
  <c r="B30" i="1"/>
  <c r="C30" i="1"/>
  <c r="D30" i="1"/>
  <c r="E30" i="1"/>
  <c r="F30" i="1"/>
  <c r="G30" i="1"/>
  <c r="A30" i="1"/>
  <c r="H27" i="1"/>
  <c r="H28" i="1"/>
  <c r="H29" i="1"/>
  <c r="H26" i="1"/>
  <c r="I29" i="1" l="1"/>
  <c r="J29" i="1" s="1"/>
  <c r="I28" i="1"/>
  <c r="I27" i="1"/>
  <c r="J27" i="1" s="1"/>
  <c r="G61" i="1"/>
  <c r="H60" i="1" s="1"/>
  <c r="H30" i="1"/>
  <c r="I26" i="1" s="1"/>
  <c r="J26" i="1" s="1"/>
  <c r="I30" i="1" l="1"/>
  <c r="J28" i="1"/>
  <c r="J30" i="1" s="1"/>
  <c r="G34" i="1" s="1"/>
  <c r="H59" i="1"/>
  <c r="H58" i="1"/>
  <c r="H61" i="1" s="1"/>
  <c r="H57" i="1"/>
  <c r="I6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0" borderId="5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Аркуш1!$A$1:$A$3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10</c:v>
                </c:pt>
              </c:numCache>
            </c:numRef>
          </c:cat>
          <c:val>
            <c:numRef>
              <c:f>Аркуш1!$B$1:$B$3</c:f>
              <c:numCache>
                <c:formatCode>General</c:formatCode>
                <c:ptCount val="3"/>
                <c:pt idx="0">
                  <c:v>16</c:v>
                </c:pt>
                <c:pt idx="1">
                  <c:v>64</c:v>
                </c:pt>
                <c:pt idx="2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9-4A8B-8F1D-0668561BD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430367"/>
        <c:axId val="1626433279"/>
      </c:lineChart>
      <c:catAx>
        <c:axId val="162643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26433279"/>
        <c:crosses val="autoZero"/>
        <c:auto val="1"/>
        <c:lblAlgn val="ctr"/>
        <c:lblOffset val="100"/>
        <c:noMultiLvlLbl val="0"/>
      </c:catAx>
      <c:valAx>
        <c:axId val="162643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62643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217170</xdr:colOff>
      <xdr:row>6</xdr:row>
      <xdr:rowOff>38100</xdr:rowOff>
    </xdr:from>
    <xdr:to>
      <xdr:col>12</xdr:col>
      <xdr:colOff>521970</xdr:colOff>
      <xdr:row>21</xdr:row>
      <xdr:rowOff>38100</xdr:rowOff>
    </xdr:to>
    <xdr:graphicFrame macro="">
      <xdr:nvGraphicFramePr>
        <xdr:cNvPr id="6" name="Діагра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topLeftCell="A64" workbookViewId="0">
      <selection activeCell="E33" sqref="E33"/>
    </sheetView>
  </sheetViews>
  <sheetFormatPr defaultRowHeight="14.4" x14ac:dyDescent="0.3"/>
  <cols>
    <col min="1" max="3" width="10.21875" bestFit="1" customWidth="1"/>
  </cols>
  <sheetData>
    <row r="1" spans="1:6" x14ac:dyDescent="0.3">
      <c r="A1">
        <v>1</v>
      </c>
      <c r="B1">
        <v>16</v>
      </c>
    </row>
    <row r="2" spans="1:6" x14ac:dyDescent="0.3">
      <c r="A2">
        <v>5</v>
      </c>
      <c r="B2">
        <v>64</v>
      </c>
      <c r="D2">
        <v>1</v>
      </c>
      <c r="E2">
        <v>5</v>
      </c>
      <c r="F2">
        <v>10</v>
      </c>
    </row>
    <row r="3" spans="1:6" x14ac:dyDescent="0.3">
      <c r="A3">
        <v>10</v>
      </c>
      <c r="B3">
        <v>92</v>
      </c>
      <c r="D3">
        <v>54</v>
      </c>
      <c r="E3">
        <v>33</v>
      </c>
      <c r="F3">
        <v>20</v>
      </c>
    </row>
    <row r="25" spans="1:10" ht="15" thickBot="1" x14ac:dyDescent="0.35"/>
    <row r="26" spans="1:10" ht="18.600000000000001" thickBot="1" x14ac:dyDescent="0.35">
      <c r="A26" s="7">
        <v>2</v>
      </c>
      <c r="B26" s="8">
        <v>1</v>
      </c>
      <c r="C26" s="8">
        <v>2</v>
      </c>
      <c r="D26" s="8">
        <v>3</v>
      </c>
      <c r="E26" s="8">
        <v>1</v>
      </c>
      <c r="F26" s="8">
        <v>1</v>
      </c>
      <c r="G26" s="8">
        <v>2</v>
      </c>
      <c r="H26">
        <f>SUM(A26:G26)</f>
        <v>12</v>
      </c>
      <c r="I26">
        <f>H26-(H30/4)</f>
        <v>-5.5</v>
      </c>
      <c r="J26">
        <f>I26*I26</f>
        <v>30.25</v>
      </c>
    </row>
    <row r="27" spans="1:10" ht="18.600000000000001" thickBot="1" x14ac:dyDescent="0.35">
      <c r="A27" s="9">
        <v>3</v>
      </c>
      <c r="B27" s="10">
        <v>4</v>
      </c>
      <c r="C27" s="10">
        <v>3</v>
      </c>
      <c r="D27" s="10">
        <v>2</v>
      </c>
      <c r="E27" s="10">
        <v>4</v>
      </c>
      <c r="F27" s="10">
        <v>3</v>
      </c>
      <c r="G27" s="10">
        <v>3</v>
      </c>
      <c r="H27">
        <f t="shared" ref="H27:H30" si="0">SUM(A27:G27)</f>
        <v>22</v>
      </c>
      <c r="I27">
        <f>H27-(H30/4)</f>
        <v>4.5</v>
      </c>
      <c r="J27">
        <f t="shared" ref="J27:J29" si="1">I27*I27</f>
        <v>20.25</v>
      </c>
    </row>
    <row r="28" spans="1:10" ht="18.600000000000001" thickBot="1" x14ac:dyDescent="0.35">
      <c r="A28" s="9">
        <v>1</v>
      </c>
      <c r="B28" s="10">
        <v>2</v>
      </c>
      <c r="C28" s="10">
        <v>1</v>
      </c>
      <c r="D28" s="10">
        <v>1</v>
      </c>
      <c r="E28" s="10">
        <v>2</v>
      </c>
      <c r="F28" s="10">
        <v>2</v>
      </c>
      <c r="G28" s="10">
        <v>1</v>
      </c>
      <c r="H28">
        <f t="shared" si="0"/>
        <v>10</v>
      </c>
      <c r="I28">
        <f>H28-(H30/4)</f>
        <v>-7.5</v>
      </c>
      <c r="J28">
        <f t="shared" si="1"/>
        <v>56.25</v>
      </c>
    </row>
    <row r="29" spans="1:10" ht="18.600000000000001" thickBot="1" x14ac:dyDescent="0.35">
      <c r="A29" s="9">
        <v>4</v>
      </c>
      <c r="B29" s="10">
        <v>3</v>
      </c>
      <c r="C29" s="10">
        <v>4</v>
      </c>
      <c r="D29" s="10">
        <v>4</v>
      </c>
      <c r="E29" s="10">
        <v>3</v>
      </c>
      <c r="F29" s="10">
        <v>4</v>
      </c>
      <c r="G29" s="10">
        <v>4</v>
      </c>
      <c r="H29">
        <f t="shared" si="0"/>
        <v>26</v>
      </c>
      <c r="I29">
        <f>H29-(H30/4)</f>
        <v>8.5</v>
      </c>
      <c r="J29">
        <f t="shared" si="1"/>
        <v>72.25</v>
      </c>
    </row>
    <row r="30" spans="1:10" x14ac:dyDescent="0.3">
      <c r="A30">
        <f>SUM(A26:A29)</f>
        <v>10</v>
      </c>
      <c r="B30">
        <f t="shared" ref="B30:J30" si="2">SUM(B26:B29)</f>
        <v>10</v>
      </c>
      <c r="C30">
        <f t="shared" si="2"/>
        <v>10</v>
      </c>
      <c r="D30">
        <f t="shared" si="2"/>
        <v>10</v>
      </c>
      <c r="E30">
        <f t="shared" si="2"/>
        <v>10</v>
      </c>
      <c r="F30">
        <f t="shared" si="2"/>
        <v>10</v>
      </c>
      <c r="G30">
        <f t="shared" si="2"/>
        <v>10</v>
      </c>
      <c r="H30">
        <f t="shared" si="2"/>
        <v>70</v>
      </c>
      <c r="I30">
        <f t="shared" si="2"/>
        <v>0</v>
      </c>
      <c r="J30">
        <f t="shared" si="2"/>
        <v>179</v>
      </c>
    </row>
    <row r="34" spans="7:7" x14ac:dyDescent="0.3">
      <c r="G34">
        <f>(12*J30)/(7*7 * (4*4*4 - 4))</f>
        <v>0.73061224489795917</v>
      </c>
    </row>
    <row r="51" spans="1:10" ht="15" thickBot="1" x14ac:dyDescent="0.35"/>
    <row r="52" spans="1:10" ht="18.600000000000001" thickBot="1" x14ac:dyDescent="0.35">
      <c r="A52" s="1">
        <v>1</v>
      </c>
      <c r="B52" s="2">
        <v>0.5</v>
      </c>
      <c r="C52" s="2">
        <v>43952</v>
      </c>
      <c r="D52" s="2">
        <v>0.5</v>
      </c>
    </row>
    <row r="53" spans="1:10" ht="18.600000000000001" thickBot="1" x14ac:dyDescent="0.35">
      <c r="A53" s="3">
        <v>43952</v>
      </c>
      <c r="B53" s="4">
        <v>1</v>
      </c>
      <c r="C53" s="4">
        <v>43952</v>
      </c>
      <c r="D53" s="4">
        <v>0.5</v>
      </c>
    </row>
    <row r="54" spans="1:10" ht="18.600000000000001" thickBot="1" x14ac:dyDescent="0.35">
      <c r="A54" s="3">
        <v>0.5</v>
      </c>
      <c r="B54" s="4">
        <v>0.5</v>
      </c>
      <c r="C54" s="4">
        <v>1</v>
      </c>
      <c r="D54" s="4">
        <v>0.5</v>
      </c>
    </row>
    <row r="55" spans="1:10" ht="18.600000000000001" thickBot="1" x14ac:dyDescent="0.35">
      <c r="A55" s="3">
        <v>43952</v>
      </c>
      <c r="B55" s="4">
        <v>43952</v>
      </c>
      <c r="C55" s="4">
        <v>43952</v>
      </c>
      <c r="D55" s="4">
        <v>1</v>
      </c>
    </row>
    <row r="57" spans="1:10" ht="18" x14ac:dyDescent="0.3">
      <c r="A57" s="5">
        <v>1</v>
      </c>
      <c r="B57" s="5">
        <v>0.5</v>
      </c>
      <c r="C57" s="5">
        <v>1.5</v>
      </c>
      <c r="D57" s="5">
        <v>0.5</v>
      </c>
      <c r="E57" s="6">
        <f>SUM(A57:D57)</f>
        <v>3.5</v>
      </c>
      <c r="F57">
        <f>E57/E61</f>
        <v>0.21875</v>
      </c>
      <c r="G57">
        <f>MMULT(A57:D57,E57:E60)</f>
        <v>12.25</v>
      </c>
      <c r="H57">
        <f>G57/G61</f>
        <v>0.2076271186440678</v>
      </c>
      <c r="I57">
        <f>MMULT(A57:D57,G57:G60)</f>
        <v>44.875</v>
      </c>
      <c r="J57">
        <f>I57/I61</f>
        <v>0.20775462962962962</v>
      </c>
    </row>
    <row r="58" spans="1:10" ht="18" x14ac:dyDescent="0.3">
      <c r="A58" s="5">
        <v>1.5</v>
      </c>
      <c r="B58" s="5">
        <v>1</v>
      </c>
      <c r="C58" s="5">
        <v>1.5</v>
      </c>
      <c r="D58" s="5">
        <v>0.5</v>
      </c>
      <c r="E58" s="6">
        <f t="shared" ref="E58:E60" si="3">SUM(A58:D58)</f>
        <v>4.5</v>
      </c>
      <c r="F58">
        <f>E58/E61</f>
        <v>0.28125</v>
      </c>
      <c r="G58">
        <f>MMULT(A58:D58,E57:E60)</f>
        <v>16.25</v>
      </c>
      <c r="H58">
        <f>G58/G61</f>
        <v>0.27542372881355931</v>
      </c>
      <c r="I58">
        <f>MMULT(A58:D58,G57:G60)</f>
        <v>59.125</v>
      </c>
      <c r="J58">
        <f>I58/I61</f>
        <v>0.27372685185185186</v>
      </c>
    </row>
    <row r="59" spans="1:10" ht="18" x14ac:dyDescent="0.3">
      <c r="A59" s="5">
        <v>0.5</v>
      </c>
      <c r="B59" s="5">
        <v>0.5</v>
      </c>
      <c r="C59" s="5">
        <v>1</v>
      </c>
      <c r="D59" s="5">
        <v>0.5</v>
      </c>
      <c r="E59" s="6">
        <f t="shared" si="3"/>
        <v>2.5</v>
      </c>
      <c r="F59">
        <f>E59/E61</f>
        <v>0.15625</v>
      </c>
      <c r="G59">
        <f>MMULT(A59:D59,E57:E60)</f>
        <v>9.25</v>
      </c>
      <c r="H59">
        <f>G59/G61</f>
        <v>0.15677966101694915</v>
      </c>
      <c r="I59">
        <f>MMULT(A59:D59,G57:G60)</f>
        <v>34.125</v>
      </c>
      <c r="J59">
        <f>I59/I61</f>
        <v>0.1579861111111111</v>
      </c>
    </row>
    <row r="60" spans="1:10" ht="18" x14ac:dyDescent="0.3">
      <c r="A60" s="5">
        <v>1.5</v>
      </c>
      <c r="B60" s="5">
        <v>1.5</v>
      </c>
      <c r="C60" s="5">
        <v>1.5</v>
      </c>
      <c r="D60" s="5">
        <v>1</v>
      </c>
      <c r="E60" s="6">
        <f t="shared" si="3"/>
        <v>5.5</v>
      </c>
      <c r="F60">
        <f>E60/E61</f>
        <v>0.34375</v>
      </c>
      <c r="G60">
        <f>MMULT(A60:D60,E57:E60)</f>
        <v>21.25</v>
      </c>
      <c r="H60">
        <f>G60/G61</f>
        <v>0.36016949152542371</v>
      </c>
      <c r="I60">
        <f>MMULT(A60:D60,G57:G60)</f>
        <v>77.875</v>
      </c>
      <c r="J60">
        <f>I60/I61</f>
        <v>0.36053240740740738</v>
      </c>
    </row>
    <row r="61" spans="1:10" x14ac:dyDescent="0.3">
      <c r="E61" s="6">
        <f>SUM(E57:E60)</f>
        <v>16</v>
      </c>
      <c r="F61" s="6">
        <f t="shared" ref="F61:J61" si="4">SUM(F57:F60)</f>
        <v>1</v>
      </c>
      <c r="G61" s="6">
        <f t="shared" si="4"/>
        <v>59</v>
      </c>
      <c r="H61" s="6">
        <f t="shared" si="4"/>
        <v>1</v>
      </c>
      <c r="I61" s="6">
        <f t="shared" si="4"/>
        <v>216</v>
      </c>
      <c r="J61" s="6">
        <f t="shared" si="4"/>
        <v>1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gsc_prukol</dc:creator>
  <cp:lastModifiedBy>gsc_prukol</cp:lastModifiedBy>
  <dcterms:created xsi:type="dcterms:W3CDTF">2020-05-28T00:47:02Z</dcterms:created>
  <dcterms:modified xsi:type="dcterms:W3CDTF">2020-05-28T19:24:20Z</dcterms:modified>
</cp:coreProperties>
</file>